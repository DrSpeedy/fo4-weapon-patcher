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wils\Desktop\Fo4 Weapon Patcher\"/>
    </mc:Choice>
  </mc:AlternateContent>
  <xr:revisionPtr revIDLastSave="0" documentId="13_ncr:1_{66A4FAA7-1CFA-440E-93D6-85D0465D3470}" xr6:coauthVersionLast="36" xr6:coauthVersionMax="36" xr10:uidLastSave="{00000000-0000-0000-0000-000000000000}"/>
  <bookViews>
    <workbookView xWindow="0" yWindow="0" windowWidth="28800" windowHeight="12225" xr2:uid="{8E93DADA-E940-48A4-B184-08199042EE5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1" i="1" l="1"/>
  <c r="D32" i="1"/>
  <c r="D33" i="1"/>
  <c r="D34" i="1"/>
  <c r="D35" i="1"/>
  <c r="D36" i="1"/>
  <c r="D37" i="1"/>
  <c r="D30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2" i="1"/>
</calcChain>
</file>

<file path=xl/sharedStrings.xml><?xml version="1.0" encoding="utf-8"?>
<sst xmlns="http://schemas.openxmlformats.org/spreadsheetml/2006/main" count="156" uniqueCount="94">
  <si>
    <t>Ammo Name</t>
  </si>
  <si>
    <t>Form ID</t>
  </si>
  <si>
    <t>Base DMG</t>
  </si>
  <si>
    <t>10mm</t>
  </si>
  <si>
    <t>0001F276</t>
  </si>
  <si>
    <t>5.56x45mm</t>
  </si>
  <si>
    <t>Ammo Type</t>
  </si>
  <si>
    <t>Pistol</t>
  </si>
  <si>
    <t>Intermediate Rifle</t>
  </si>
  <si>
    <t>0001F278</t>
  </si>
  <si>
    <t>Big Bore Rifle</t>
  </si>
  <si>
    <t>0001F279</t>
  </si>
  <si>
    <t>0001F66A</t>
  </si>
  <si>
    <t>.50 BMG</t>
  </si>
  <si>
    <t>.45 ACP</t>
  </si>
  <si>
    <t>.308 WIN</t>
  </si>
  <si>
    <t>Standard Rifle</t>
  </si>
  <si>
    <t>7.62x51mm</t>
  </si>
  <si>
    <t>0001F66B</t>
  </si>
  <si>
    <t>0001F66C</t>
  </si>
  <si>
    <t>12 GA</t>
  </si>
  <si>
    <t>Shotgun</t>
  </si>
  <si>
    <t>0001F673</t>
  </si>
  <si>
    <t>9x19mm</t>
  </si>
  <si>
    <t>0004CE87</t>
  </si>
  <si>
    <t>.44 Mag</t>
  </si>
  <si>
    <t>0009221C</t>
  </si>
  <si>
    <t>7.62x39mm</t>
  </si>
  <si>
    <t>06037897</t>
  </si>
  <si>
    <t>5.7x28mm</t>
  </si>
  <si>
    <t>13000FFA</t>
  </si>
  <si>
    <t>8x57mm</t>
  </si>
  <si>
    <t>130012FE</t>
  </si>
  <si>
    <t>300 WM</t>
  </si>
  <si>
    <t>13001340</t>
  </si>
  <si>
    <t>303 BRIT</t>
  </si>
  <si>
    <t>130013B4</t>
  </si>
  <si>
    <t>7.62x54R</t>
  </si>
  <si>
    <t>130020BE</t>
  </si>
  <si>
    <t>9x18mm</t>
  </si>
  <si>
    <t>130020BF</t>
  </si>
  <si>
    <t>9x39mm</t>
  </si>
  <si>
    <t>130020C0</t>
  </si>
  <si>
    <t>.40 S&amp;W</t>
  </si>
  <si>
    <t>130020C1</t>
  </si>
  <si>
    <t>.300 BLK</t>
  </si>
  <si>
    <t>130020C2</t>
  </si>
  <si>
    <t>.338 LM</t>
  </si>
  <si>
    <t>130020CB</t>
  </si>
  <si>
    <t>.223 REM</t>
  </si>
  <si>
    <t>13002173</t>
  </si>
  <si>
    <t>.50 AE</t>
  </si>
  <si>
    <t>1300217B</t>
  </si>
  <si>
    <t>5.49x45mm</t>
  </si>
  <si>
    <t>13002754</t>
  </si>
  <si>
    <t>6.8 SPC</t>
  </si>
  <si>
    <t>13003958</t>
  </si>
  <si>
    <t>28 Ga</t>
  </si>
  <si>
    <t>13003B88</t>
  </si>
  <si>
    <t>No dismember/explode</t>
  </si>
  <si>
    <t>Explode only</t>
  </si>
  <si>
    <t>Normal formula behaviour</t>
  </si>
  <si>
    <t>.45-70 Govt</t>
  </si>
  <si>
    <t>7.62x25mm</t>
  </si>
  <si>
    <t>Pasta Ammo</t>
  </si>
  <si>
    <t>Unconventional</t>
  </si>
  <si>
    <t>4104742B</t>
  </si>
  <si>
    <t>0302C8B1</t>
  </si>
  <si>
    <t>69009907</t>
  </si>
  <si>
    <t>2mm EC</t>
  </si>
  <si>
    <t>0018ABDF</t>
  </si>
  <si>
    <t>DMG (Calculated)</t>
  </si>
  <si>
    <t>Comp 7.62x39mm</t>
  </si>
  <si>
    <t>Comp .45-70 Govt</t>
  </si>
  <si>
    <t>Comp .308 WIN</t>
  </si>
  <si>
    <t>NPC 5mm (replaced by 7.62x51mm)</t>
  </si>
  <si>
    <t>Comp 12ga</t>
  </si>
  <si>
    <t>Comp 10mm</t>
  </si>
  <si>
    <t>Comp .45 ACP</t>
  </si>
  <si>
    <t>060496EB</t>
  </si>
  <si>
    <t>0304D39C</t>
  </si>
  <si>
    <t>00245D53</t>
  </si>
  <si>
    <t>001943D0</t>
  </si>
  <si>
    <t>00245D68</t>
  </si>
  <si>
    <t>00245D6A</t>
  </si>
  <si>
    <t>00245D6B</t>
  </si>
  <si>
    <t>NPC</t>
  </si>
  <si>
    <t>Random DMG Swing</t>
  </si>
  <si>
    <t>On Hit Behavior</t>
  </si>
  <si>
    <t>Out of Range DMG Mult</t>
  </si>
  <si>
    <t>Base DMG Mult</t>
  </si>
  <si>
    <t>Reload Speed Mult</t>
  </si>
  <si>
    <t>Base DMG Pistol Mult</t>
  </si>
  <si>
    <t>Out of Range Pistol Mult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</si>
</sst>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49" fontId="1" fillId="0" borderId="0" xfId="0" applyNumberFormat="1" applyFont="1"/>
    <xf numFmtId="49" fontId="0" fillId="0" borderId="0" xfId="0" applyNumberFormat="1"/>
    <xf numFmtId="0" fontId="2" fillId="2" borderId="1" xfId="1"/>
    <xf numFmtId="0" fontId="4" fillId="0" borderId="0" xfId="3"/>
    <xf numFmtId="49" fontId="2" fillId="2" borderId="1" xfId="1" applyNumberFormat="1"/>
    <xf numFmtId="0" fontId="2" fillId="2" borderId="3" xfId="1" applyBorder="1"/>
    <xf numFmtId="0" fontId="3" fillId="3" borderId="2" xfId="2" applyBorder="1" applyAlignment="1">
      <alignment horizontal="center"/>
    </xf>
    <xf numFmtId="0" fontId="2" fillId="2" borderId="1" xfId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</cellXfs>
  <cellStyles count="4">
    <cellStyle name="Calculation" xfId="2" builtinId="22"/>
    <cellStyle name="Explanatory Text" xfId="3" builtinId="53"/>
    <cellStyle name="Input" xfId="1" builtinId="20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righ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</xdr:row>
          <xdr:rowOff>0</xdr:rowOff>
        </xdr:from>
        <xdr:to>
          <xdr:col>23</xdr:col>
          <xdr:colOff>542925</xdr:colOff>
          <xdr:row>20</xdr:row>
          <xdr:rowOff>180975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22</xdr:row>
          <xdr:rowOff>19050</xdr:rowOff>
        </xdr:from>
        <xdr:to>
          <xdr:col>15</xdr:col>
          <xdr:colOff>295275</xdr:colOff>
          <xdr:row>24</xdr:row>
          <xdr:rowOff>57150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BA486D-BED2-42E5-846F-824342172D6B}" name="Table2" displayName="Table2" ref="A1:L37" totalsRowShown="0" headerRowDxfId="0">
  <autoFilter ref="A1:L37" xr:uid="{9991C1B4-4D3C-49A4-BB82-5817D909E2C7}"/>
  <tableColumns count="12">
    <tableColumn id="1" xr3:uid="{2DCA64D1-62EE-49F0-9DD2-16ABA60D5430}" name="Ammo Name"/>
    <tableColumn id="2" xr3:uid="{5DEAA50C-A6E2-43CE-A78D-336B45754DE5}" name="Ammo Type"/>
    <tableColumn id="3" xr3:uid="{78DFEF50-59CC-49A3-8C3E-4986D5E1D9AB}" name="Form ID" dataDxfId="2"/>
    <tableColumn id="4" xr3:uid="{E94F1B7F-2D42-4A91-8480-5110F0E8B9B2}" name="DMG (Calculated)"/>
    <tableColumn id="5" xr3:uid="{1440B866-3B76-46C0-BB35-2EEE8F835B6A}" name="Base DMG Mult"/>
    <tableColumn id="6" xr3:uid="{4B1C19B4-3C00-42DE-99D1-4CF4544BB697}" name="Base DMG"/>
    <tableColumn id="7" xr3:uid="{1084671A-5B2A-4A61-BC9B-3BD4B0AC6DC9}" name="Random DMG Swing"/>
    <tableColumn id="8" xr3:uid="{11DFFE1B-8594-48CB-A491-43FE44574C46}" name="Out of Range DMG Mult"/>
    <tableColumn id="9" xr3:uid="{B269589A-2C38-498F-8F39-E396EAADA092}" name="Base DMG Pistol Mult"/>
    <tableColumn id="10" xr3:uid="{F2493B1E-B79A-45C4-9003-86770EA1ADB5}" name="Out of Range Pistol Mult"/>
    <tableColumn id="11" xr3:uid="{6C5221D4-B826-4F20-B4C7-26BA3B0803EC}" name="On Hit Behavior"/>
    <tableColumn id="12" xr3:uid="{F78511BC-4EC8-4949-AFFA-BEBF83B375A7}" name="Reload Speed Mult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A94B9-389F-43E9-809F-E464D1449F8C}">
  <sheetPr codeName="Sheet1"/>
  <dimension ref="A1:L37"/>
  <sheetViews>
    <sheetView tabSelected="1" workbookViewId="0">
      <pane xSplit="1" topLeftCell="B1" activePane="topRight" state="frozen"/>
      <selection pane="topRight" activeCell="E15" sqref="E15"/>
    </sheetView>
  </sheetViews>
  <sheetFormatPr defaultRowHeight="15" x14ac:dyDescent="0.25"/>
  <cols>
    <col min="1" max="1" width="33.140625" bestFit="1" customWidth="1"/>
    <col min="2" max="2" width="17.5703125" bestFit="1" customWidth="1"/>
    <col min="3" max="3" width="10" style="3" customWidth="1"/>
    <col min="4" max="4" width="18.85546875" customWidth="1"/>
    <col min="5" max="5" width="17" customWidth="1"/>
    <col min="6" max="6" width="16.85546875" customWidth="1"/>
    <col min="7" max="7" width="21.140625" customWidth="1"/>
    <col min="8" max="8" width="24.28515625" customWidth="1"/>
    <col min="9" max="9" width="22.5703125" customWidth="1"/>
    <col min="10" max="10" width="24.7109375" customWidth="1"/>
    <col min="11" max="11" width="24.85546875" bestFit="1" customWidth="1"/>
    <col min="12" max="12" width="20.42578125" style="10" bestFit="1" customWidth="1"/>
  </cols>
  <sheetData>
    <row r="1" spans="1:12" x14ac:dyDescent="0.25">
      <c r="A1" s="1" t="s">
        <v>0</v>
      </c>
      <c r="B1" s="1" t="s">
        <v>6</v>
      </c>
      <c r="C1" s="2" t="s">
        <v>1</v>
      </c>
      <c r="D1" s="1" t="s">
        <v>71</v>
      </c>
      <c r="E1" s="1" t="s">
        <v>90</v>
      </c>
      <c r="F1" s="1" t="s">
        <v>2</v>
      </c>
      <c r="G1" s="1" t="s">
        <v>87</v>
      </c>
      <c r="H1" s="1" t="s">
        <v>89</v>
      </c>
      <c r="I1" s="1" t="s">
        <v>92</v>
      </c>
      <c r="J1" s="1" t="s">
        <v>93</v>
      </c>
      <c r="K1" s="1" t="s">
        <v>88</v>
      </c>
      <c r="L1" s="11" t="s">
        <v>91</v>
      </c>
    </row>
    <row r="2" spans="1:12" x14ac:dyDescent="0.25">
      <c r="A2" s="5" t="s">
        <v>13</v>
      </c>
      <c r="B2" s="5" t="s">
        <v>10</v>
      </c>
      <c r="C2" s="6" t="s">
        <v>11</v>
      </c>
      <c r="D2" s="8">
        <f t="shared" ref="D2:D37" si="0">_xlfn.FLOOR.MATH(PRODUCT(E2,F2))</f>
        <v>62</v>
      </c>
      <c r="E2" s="4">
        <v>0.66</v>
      </c>
      <c r="F2" s="4">
        <v>95</v>
      </c>
      <c r="G2" s="7">
        <v>7</v>
      </c>
      <c r="H2" s="7">
        <v>0.9</v>
      </c>
      <c r="I2" s="7">
        <v>0.95</v>
      </c>
      <c r="J2" s="7">
        <v>0.7</v>
      </c>
      <c r="K2" s="4" t="s">
        <v>61</v>
      </c>
      <c r="L2" s="9">
        <v>1</v>
      </c>
    </row>
    <row r="3" spans="1:12" x14ac:dyDescent="0.25">
      <c r="A3" s="5" t="s">
        <v>47</v>
      </c>
      <c r="B3" s="5" t="s">
        <v>10</v>
      </c>
      <c r="C3" s="6" t="s">
        <v>48</v>
      </c>
      <c r="D3" s="8">
        <f t="shared" si="0"/>
        <v>58</v>
      </c>
      <c r="E3" s="4">
        <v>0.66</v>
      </c>
      <c r="F3" s="4">
        <v>88</v>
      </c>
      <c r="G3" s="7">
        <v>7</v>
      </c>
      <c r="H3" s="7">
        <v>0.89</v>
      </c>
      <c r="I3" s="7">
        <v>0.95</v>
      </c>
      <c r="J3" s="7">
        <v>0.7</v>
      </c>
      <c r="K3" s="4" t="s">
        <v>61</v>
      </c>
      <c r="L3" s="9">
        <v>1</v>
      </c>
    </row>
    <row r="4" spans="1:12" x14ac:dyDescent="0.25">
      <c r="A4" s="5" t="s">
        <v>5</v>
      </c>
      <c r="B4" s="5" t="s">
        <v>8</v>
      </c>
      <c r="C4" s="6" t="s">
        <v>9</v>
      </c>
      <c r="D4" s="8">
        <f t="shared" si="0"/>
        <v>29</v>
      </c>
      <c r="E4" s="4">
        <v>0.66</v>
      </c>
      <c r="F4" s="4">
        <v>44</v>
      </c>
      <c r="G4" s="7">
        <v>4</v>
      </c>
      <c r="H4" s="7">
        <v>0.8</v>
      </c>
      <c r="I4" s="7">
        <v>0.95</v>
      </c>
      <c r="J4" s="7">
        <v>0.7</v>
      </c>
      <c r="K4" s="4" t="s">
        <v>59</v>
      </c>
      <c r="L4" s="9">
        <v>1</v>
      </c>
    </row>
    <row r="5" spans="1:12" x14ac:dyDescent="0.25">
      <c r="A5" s="5" t="s">
        <v>27</v>
      </c>
      <c r="B5" s="5" t="s">
        <v>8</v>
      </c>
      <c r="C5" s="6" t="s">
        <v>28</v>
      </c>
      <c r="D5" s="8">
        <f t="shared" si="0"/>
        <v>33</v>
      </c>
      <c r="E5" s="4">
        <v>0.66</v>
      </c>
      <c r="F5" s="4">
        <v>50</v>
      </c>
      <c r="G5" s="7">
        <v>4</v>
      </c>
      <c r="H5" s="7">
        <v>0.75</v>
      </c>
      <c r="I5" s="7">
        <v>0.95</v>
      </c>
      <c r="J5" s="7">
        <v>0.7</v>
      </c>
      <c r="K5" s="4" t="s">
        <v>59</v>
      </c>
      <c r="L5" s="9">
        <v>1</v>
      </c>
    </row>
    <row r="6" spans="1:12" x14ac:dyDescent="0.25">
      <c r="A6" s="5" t="s">
        <v>41</v>
      </c>
      <c r="B6" s="5" t="s">
        <v>8</v>
      </c>
      <c r="C6" s="6" t="s">
        <v>42</v>
      </c>
      <c r="D6" s="8">
        <f t="shared" si="0"/>
        <v>36</v>
      </c>
      <c r="E6" s="4">
        <v>0.66</v>
      </c>
      <c r="F6" s="4">
        <v>55</v>
      </c>
      <c r="G6" s="7">
        <v>4</v>
      </c>
      <c r="H6" s="7">
        <v>0.75</v>
      </c>
      <c r="I6" s="7">
        <v>0.95</v>
      </c>
      <c r="J6" s="7">
        <v>0.7</v>
      </c>
      <c r="K6" s="4" t="s">
        <v>59</v>
      </c>
      <c r="L6" s="9">
        <v>1</v>
      </c>
    </row>
    <row r="7" spans="1:12" x14ac:dyDescent="0.25">
      <c r="A7" s="5" t="s">
        <v>45</v>
      </c>
      <c r="B7" s="5" t="s">
        <v>8</v>
      </c>
      <c r="C7" s="6" t="s">
        <v>46</v>
      </c>
      <c r="D7" s="8">
        <f t="shared" si="0"/>
        <v>29</v>
      </c>
      <c r="E7" s="4">
        <v>0.66</v>
      </c>
      <c r="F7" s="4">
        <v>45</v>
      </c>
      <c r="G7" s="7">
        <v>4</v>
      </c>
      <c r="H7" s="7">
        <v>0.75</v>
      </c>
      <c r="I7" s="7">
        <v>0.95</v>
      </c>
      <c r="J7" s="7">
        <v>0.7</v>
      </c>
      <c r="K7" s="4" t="s">
        <v>59</v>
      </c>
      <c r="L7" s="9">
        <v>1</v>
      </c>
    </row>
    <row r="8" spans="1:12" x14ac:dyDescent="0.25">
      <c r="A8" s="5" t="s">
        <v>49</v>
      </c>
      <c r="B8" s="5" t="s">
        <v>8</v>
      </c>
      <c r="C8" s="6" t="s">
        <v>50</v>
      </c>
      <c r="D8" s="8">
        <f t="shared" si="0"/>
        <v>27</v>
      </c>
      <c r="E8" s="4">
        <v>0.66</v>
      </c>
      <c r="F8" s="4">
        <v>42</v>
      </c>
      <c r="G8" s="7">
        <v>4</v>
      </c>
      <c r="H8" s="7">
        <v>0.7</v>
      </c>
      <c r="I8" s="7">
        <v>0.95</v>
      </c>
      <c r="J8" s="7">
        <v>0.7</v>
      </c>
      <c r="K8" s="4" t="s">
        <v>59</v>
      </c>
      <c r="L8" s="9">
        <v>1</v>
      </c>
    </row>
    <row r="9" spans="1:12" x14ac:dyDescent="0.25">
      <c r="A9" s="5" t="s">
        <v>53</v>
      </c>
      <c r="B9" s="5" t="s">
        <v>8</v>
      </c>
      <c r="C9" s="6" t="s">
        <v>54</v>
      </c>
      <c r="D9" s="8">
        <f t="shared" si="0"/>
        <v>29</v>
      </c>
      <c r="E9" s="4">
        <v>0.66</v>
      </c>
      <c r="F9" s="4">
        <v>44</v>
      </c>
      <c r="G9" s="7">
        <v>4</v>
      </c>
      <c r="H9" s="7">
        <v>0.75</v>
      </c>
      <c r="I9" s="7">
        <v>0.95</v>
      </c>
      <c r="J9" s="7">
        <v>0.7</v>
      </c>
      <c r="K9" s="4" t="s">
        <v>59</v>
      </c>
      <c r="L9" s="9">
        <v>1</v>
      </c>
    </row>
    <row r="10" spans="1:12" x14ac:dyDescent="0.25">
      <c r="A10" s="5" t="s">
        <v>55</v>
      </c>
      <c r="B10" s="5" t="s">
        <v>8</v>
      </c>
      <c r="C10" s="6" t="s">
        <v>56</v>
      </c>
      <c r="D10" s="8">
        <f t="shared" si="0"/>
        <v>31</v>
      </c>
      <c r="E10" s="4">
        <v>0.66</v>
      </c>
      <c r="F10" s="4">
        <v>48</v>
      </c>
      <c r="G10" s="7">
        <v>4</v>
      </c>
      <c r="H10" s="7">
        <v>0.75</v>
      </c>
      <c r="I10" s="7">
        <v>0.95</v>
      </c>
      <c r="J10" s="7">
        <v>0.7</v>
      </c>
      <c r="K10" s="4" t="s">
        <v>59</v>
      </c>
      <c r="L10" s="9">
        <v>1</v>
      </c>
    </row>
    <row r="11" spans="1:12" x14ac:dyDescent="0.25">
      <c r="A11" s="5" t="s">
        <v>3</v>
      </c>
      <c r="B11" s="5" t="s">
        <v>7</v>
      </c>
      <c r="C11" s="6" t="s">
        <v>4</v>
      </c>
      <c r="D11" s="8">
        <f t="shared" si="0"/>
        <v>26</v>
      </c>
      <c r="E11" s="4">
        <v>0.66</v>
      </c>
      <c r="F11" s="4">
        <v>40</v>
      </c>
      <c r="G11" s="7">
        <v>4</v>
      </c>
      <c r="H11" s="7">
        <v>0.55000000000000004</v>
      </c>
      <c r="I11" s="7">
        <v>0.95</v>
      </c>
      <c r="J11" s="7">
        <v>0.7</v>
      </c>
      <c r="K11" s="4" t="s">
        <v>59</v>
      </c>
      <c r="L11" s="9">
        <v>1</v>
      </c>
    </row>
    <row r="12" spans="1:12" x14ac:dyDescent="0.25">
      <c r="A12" s="5" t="s">
        <v>14</v>
      </c>
      <c r="B12" s="5" t="s">
        <v>7</v>
      </c>
      <c r="C12" s="6" t="s">
        <v>12</v>
      </c>
      <c r="D12" s="8">
        <f t="shared" si="0"/>
        <v>27</v>
      </c>
      <c r="E12" s="4">
        <v>0.66</v>
      </c>
      <c r="F12" s="4">
        <v>42</v>
      </c>
      <c r="G12" s="7">
        <v>4</v>
      </c>
      <c r="H12" s="7">
        <v>0.55000000000000004</v>
      </c>
      <c r="I12" s="7">
        <v>0.95</v>
      </c>
      <c r="J12" s="7">
        <v>0.7</v>
      </c>
      <c r="K12" s="4" t="s">
        <v>59</v>
      </c>
      <c r="L12" s="9">
        <v>1</v>
      </c>
    </row>
    <row r="13" spans="1:12" x14ac:dyDescent="0.25">
      <c r="A13" s="5" t="s">
        <v>23</v>
      </c>
      <c r="B13" s="5" t="s">
        <v>7</v>
      </c>
      <c r="C13" s="6" t="s">
        <v>24</v>
      </c>
      <c r="D13" s="8">
        <f t="shared" si="0"/>
        <v>25</v>
      </c>
      <c r="E13" s="4">
        <v>0.66</v>
      </c>
      <c r="F13" s="4">
        <v>38</v>
      </c>
      <c r="G13" s="7">
        <v>4</v>
      </c>
      <c r="H13" s="7">
        <v>0.5</v>
      </c>
      <c r="I13" s="7">
        <v>0.95</v>
      </c>
      <c r="J13" s="7">
        <v>0.7</v>
      </c>
      <c r="K13" s="4" t="s">
        <v>59</v>
      </c>
      <c r="L13" s="9">
        <v>1</v>
      </c>
    </row>
    <row r="14" spans="1:12" x14ac:dyDescent="0.25">
      <c r="A14" s="5" t="s">
        <v>25</v>
      </c>
      <c r="B14" s="5" t="s">
        <v>7</v>
      </c>
      <c r="C14" s="6" t="s">
        <v>26</v>
      </c>
      <c r="D14" s="8">
        <f t="shared" si="0"/>
        <v>33</v>
      </c>
      <c r="E14" s="4">
        <v>0.66</v>
      </c>
      <c r="F14" s="4">
        <v>50</v>
      </c>
      <c r="G14" s="7">
        <v>4</v>
      </c>
      <c r="H14" s="7">
        <v>0.68</v>
      </c>
      <c r="I14" s="7">
        <v>0.95</v>
      </c>
      <c r="J14" s="7">
        <v>0.7</v>
      </c>
      <c r="K14" s="4" t="s">
        <v>59</v>
      </c>
      <c r="L14" s="9">
        <v>1</v>
      </c>
    </row>
    <row r="15" spans="1:12" x14ac:dyDescent="0.25">
      <c r="A15" s="5" t="s">
        <v>29</v>
      </c>
      <c r="B15" s="5" t="s">
        <v>7</v>
      </c>
      <c r="C15" s="6" t="s">
        <v>30</v>
      </c>
      <c r="D15" s="8">
        <f t="shared" si="0"/>
        <v>26</v>
      </c>
      <c r="E15" s="4">
        <v>0.66</v>
      </c>
      <c r="F15" s="4">
        <v>40</v>
      </c>
      <c r="G15" s="7">
        <v>4</v>
      </c>
      <c r="H15" s="7">
        <v>0.7</v>
      </c>
      <c r="I15" s="7">
        <v>0.95</v>
      </c>
      <c r="J15" s="7">
        <v>0.7</v>
      </c>
      <c r="K15" s="4" t="s">
        <v>59</v>
      </c>
      <c r="L15" s="9">
        <v>1</v>
      </c>
    </row>
    <row r="16" spans="1:12" x14ac:dyDescent="0.25">
      <c r="A16" s="5" t="s">
        <v>39</v>
      </c>
      <c r="B16" s="5" t="s">
        <v>7</v>
      </c>
      <c r="C16" s="6" t="s">
        <v>40</v>
      </c>
      <c r="D16" s="8">
        <f t="shared" si="0"/>
        <v>24</v>
      </c>
      <c r="E16" s="4">
        <v>0.66</v>
      </c>
      <c r="F16" s="4">
        <v>37</v>
      </c>
      <c r="G16" s="7">
        <v>4</v>
      </c>
      <c r="H16" s="7">
        <v>0.5</v>
      </c>
      <c r="I16" s="7">
        <v>0.95</v>
      </c>
      <c r="J16" s="7">
        <v>0.7</v>
      </c>
      <c r="K16" s="4" t="s">
        <v>59</v>
      </c>
      <c r="L16" s="9">
        <v>1</v>
      </c>
    </row>
    <row r="17" spans="1:12" x14ac:dyDescent="0.25">
      <c r="A17" s="5" t="s">
        <v>43</v>
      </c>
      <c r="B17" s="5" t="s">
        <v>7</v>
      </c>
      <c r="C17" s="6" t="s">
        <v>44</v>
      </c>
      <c r="D17" s="8">
        <f t="shared" si="0"/>
        <v>27</v>
      </c>
      <c r="E17" s="4">
        <v>0.66</v>
      </c>
      <c r="F17" s="4">
        <v>41</v>
      </c>
      <c r="G17" s="7">
        <v>4</v>
      </c>
      <c r="H17" s="7">
        <v>0.55000000000000004</v>
      </c>
      <c r="I17" s="7">
        <v>0.95</v>
      </c>
      <c r="J17" s="7">
        <v>0.7</v>
      </c>
      <c r="K17" s="4" t="s">
        <v>59</v>
      </c>
      <c r="L17" s="9">
        <v>1</v>
      </c>
    </row>
    <row r="18" spans="1:12" x14ac:dyDescent="0.25">
      <c r="A18" s="5" t="s">
        <v>51</v>
      </c>
      <c r="B18" s="5" t="s">
        <v>7</v>
      </c>
      <c r="C18" s="6" t="s">
        <v>52</v>
      </c>
      <c r="D18" s="8">
        <f t="shared" si="0"/>
        <v>39</v>
      </c>
      <c r="E18" s="4">
        <v>0.66</v>
      </c>
      <c r="F18" s="4">
        <v>60</v>
      </c>
      <c r="G18" s="7">
        <v>4</v>
      </c>
      <c r="H18" s="7">
        <v>0.6</v>
      </c>
      <c r="I18" s="7">
        <v>0.95</v>
      </c>
      <c r="J18" s="7">
        <v>0.7</v>
      </c>
      <c r="K18" s="4" t="s">
        <v>61</v>
      </c>
      <c r="L18" s="9">
        <v>1</v>
      </c>
    </row>
    <row r="19" spans="1:12" x14ac:dyDescent="0.25">
      <c r="A19" s="5" t="s">
        <v>20</v>
      </c>
      <c r="B19" s="5" t="s">
        <v>21</v>
      </c>
      <c r="C19" s="6" t="s">
        <v>22</v>
      </c>
      <c r="D19" s="8">
        <f t="shared" si="0"/>
        <v>56</v>
      </c>
      <c r="E19" s="4">
        <v>0.66</v>
      </c>
      <c r="F19" s="4">
        <v>85</v>
      </c>
      <c r="G19" s="7">
        <v>6</v>
      </c>
      <c r="H19" s="7">
        <v>0.35</v>
      </c>
      <c r="I19" s="7">
        <v>0.95</v>
      </c>
      <c r="J19" s="7">
        <v>0.7</v>
      </c>
      <c r="K19" s="4" t="s">
        <v>60</v>
      </c>
      <c r="L19" s="9">
        <v>1</v>
      </c>
    </row>
    <row r="20" spans="1:12" x14ac:dyDescent="0.25">
      <c r="A20" s="5" t="s">
        <v>57</v>
      </c>
      <c r="B20" s="5" t="s">
        <v>21</v>
      </c>
      <c r="C20" s="6" t="s">
        <v>58</v>
      </c>
      <c r="D20" s="8">
        <f t="shared" si="0"/>
        <v>39</v>
      </c>
      <c r="E20" s="4">
        <v>0.66</v>
      </c>
      <c r="F20" s="4">
        <v>60</v>
      </c>
      <c r="G20" s="7">
        <v>6</v>
      </c>
      <c r="H20" s="7">
        <v>0.3</v>
      </c>
      <c r="I20" s="7">
        <v>0.95</v>
      </c>
      <c r="J20" s="7">
        <v>0.7</v>
      </c>
      <c r="K20" s="4" t="s">
        <v>61</v>
      </c>
      <c r="L20" s="9">
        <v>1</v>
      </c>
    </row>
    <row r="21" spans="1:12" x14ac:dyDescent="0.25">
      <c r="A21" s="5" t="s">
        <v>15</v>
      </c>
      <c r="B21" s="5" t="s">
        <v>16</v>
      </c>
      <c r="C21" s="6" t="s">
        <v>18</v>
      </c>
      <c r="D21" s="8">
        <f t="shared" si="0"/>
        <v>49</v>
      </c>
      <c r="E21" s="4">
        <v>0.66</v>
      </c>
      <c r="F21" s="4">
        <v>75</v>
      </c>
      <c r="G21" s="7">
        <v>7</v>
      </c>
      <c r="H21" s="7">
        <v>0.8</v>
      </c>
      <c r="I21" s="7">
        <v>0.95</v>
      </c>
      <c r="J21" s="7">
        <v>0.7</v>
      </c>
      <c r="K21" s="4" t="s">
        <v>59</v>
      </c>
      <c r="L21" s="9">
        <v>1</v>
      </c>
    </row>
    <row r="22" spans="1:12" x14ac:dyDescent="0.25">
      <c r="A22" s="5" t="s">
        <v>17</v>
      </c>
      <c r="B22" s="5" t="s">
        <v>16</v>
      </c>
      <c r="C22" s="6" t="s">
        <v>19</v>
      </c>
      <c r="D22" s="8">
        <f t="shared" si="0"/>
        <v>49</v>
      </c>
      <c r="E22" s="4">
        <v>0.66</v>
      </c>
      <c r="F22" s="4">
        <v>75</v>
      </c>
      <c r="G22" s="7">
        <v>7</v>
      </c>
      <c r="H22" s="7">
        <v>0.8</v>
      </c>
      <c r="I22" s="7">
        <v>0.95</v>
      </c>
      <c r="J22" s="7">
        <v>0.7</v>
      </c>
      <c r="K22" s="4" t="s">
        <v>59</v>
      </c>
      <c r="L22" s="9">
        <v>1</v>
      </c>
    </row>
    <row r="23" spans="1:12" x14ac:dyDescent="0.25">
      <c r="A23" s="5" t="s">
        <v>31</v>
      </c>
      <c r="B23" s="5" t="s">
        <v>16</v>
      </c>
      <c r="C23" s="6" t="s">
        <v>32</v>
      </c>
      <c r="D23" s="8">
        <f t="shared" si="0"/>
        <v>46</v>
      </c>
      <c r="E23" s="4">
        <v>0.66</v>
      </c>
      <c r="F23" s="4">
        <v>70</v>
      </c>
      <c r="G23" s="7">
        <v>7</v>
      </c>
      <c r="H23" s="7">
        <v>0.78</v>
      </c>
      <c r="I23" s="7">
        <v>0.95</v>
      </c>
      <c r="J23" s="7">
        <v>0.7</v>
      </c>
      <c r="K23" s="4" t="s">
        <v>59</v>
      </c>
      <c r="L23" s="9">
        <v>1</v>
      </c>
    </row>
    <row r="24" spans="1:12" x14ac:dyDescent="0.25">
      <c r="A24" s="5" t="s">
        <v>33</v>
      </c>
      <c r="B24" s="5" t="s">
        <v>16</v>
      </c>
      <c r="C24" s="6" t="s">
        <v>34</v>
      </c>
      <c r="D24" s="8">
        <f t="shared" si="0"/>
        <v>55</v>
      </c>
      <c r="E24" s="4">
        <v>0.66</v>
      </c>
      <c r="F24" s="4">
        <v>84</v>
      </c>
      <c r="G24" s="7">
        <v>7</v>
      </c>
      <c r="H24" s="7">
        <v>0.85</v>
      </c>
      <c r="I24" s="7">
        <v>0.95</v>
      </c>
      <c r="J24" s="7">
        <v>0.7</v>
      </c>
      <c r="K24" s="4" t="s">
        <v>59</v>
      </c>
      <c r="L24" s="9">
        <v>1</v>
      </c>
    </row>
    <row r="25" spans="1:12" x14ac:dyDescent="0.25">
      <c r="A25" s="5" t="s">
        <v>35</v>
      </c>
      <c r="B25" s="5" t="s">
        <v>16</v>
      </c>
      <c r="C25" s="6" t="s">
        <v>36</v>
      </c>
      <c r="D25" s="8">
        <f t="shared" si="0"/>
        <v>42</v>
      </c>
      <c r="E25" s="4">
        <v>0.66</v>
      </c>
      <c r="F25" s="4">
        <v>65</v>
      </c>
      <c r="G25" s="7">
        <v>7</v>
      </c>
      <c r="H25" s="7">
        <v>0.78</v>
      </c>
      <c r="I25" s="7">
        <v>0.95</v>
      </c>
      <c r="J25" s="7">
        <v>0.7</v>
      </c>
      <c r="K25" s="4" t="s">
        <v>59</v>
      </c>
      <c r="L25" s="9">
        <v>1</v>
      </c>
    </row>
    <row r="26" spans="1:12" x14ac:dyDescent="0.25">
      <c r="A26" s="5" t="s">
        <v>37</v>
      </c>
      <c r="B26" s="5" t="s">
        <v>16</v>
      </c>
      <c r="C26" s="6" t="s">
        <v>38</v>
      </c>
      <c r="D26" s="8">
        <f t="shared" si="0"/>
        <v>44</v>
      </c>
      <c r="E26" s="4">
        <v>0.66</v>
      </c>
      <c r="F26" s="4">
        <v>67</v>
      </c>
      <c r="G26" s="7">
        <v>7</v>
      </c>
      <c r="H26" s="7">
        <v>0.78</v>
      </c>
      <c r="I26" s="7">
        <v>0.95</v>
      </c>
      <c r="J26" s="7">
        <v>0.7</v>
      </c>
      <c r="K26" s="4" t="s">
        <v>59</v>
      </c>
      <c r="L26" s="9">
        <v>1</v>
      </c>
    </row>
    <row r="27" spans="1:12" x14ac:dyDescent="0.25">
      <c r="A27" s="5" t="s">
        <v>62</v>
      </c>
      <c r="B27" s="5" t="s">
        <v>16</v>
      </c>
      <c r="C27" s="6" t="s">
        <v>67</v>
      </c>
      <c r="D27" s="8">
        <f t="shared" si="0"/>
        <v>41</v>
      </c>
      <c r="E27" s="4">
        <v>0.66</v>
      </c>
      <c r="F27" s="4">
        <v>63</v>
      </c>
      <c r="G27" s="7">
        <v>4</v>
      </c>
      <c r="H27" s="7">
        <v>0.68</v>
      </c>
      <c r="I27" s="7">
        <v>0.95</v>
      </c>
      <c r="J27" s="7">
        <v>0.7</v>
      </c>
      <c r="K27" s="4" t="s">
        <v>61</v>
      </c>
      <c r="L27" s="9">
        <v>1</v>
      </c>
    </row>
    <row r="28" spans="1:12" x14ac:dyDescent="0.25">
      <c r="A28" s="5" t="s">
        <v>63</v>
      </c>
      <c r="B28" s="5" t="s">
        <v>7</v>
      </c>
      <c r="C28" s="6" t="s">
        <v>66</v>
      </c>
      <c r="D28" s="8">
        <f t="shared" si="0"/>
        <v>25</v>
      </c>
      <c r="E28" s="4">
        <v>0.66</v>
      </c>
      <c r="F28" s="4">
        <v>38</v>
      </c>
      <c r="G28" s="7">
        <v>4</v>
      </c>
      <c r="H28" s="7">
        <v>0.52</v>
      </c>
      <c r="I28" s="7">
        <v>0.95</v>
      </c>
      <c r="J28" s="7">
        <v>0.7</v>
      </c>
      <c r="K28" s="4" t="s">
        <v>59</v>
      </c>
      <c r="L28" s="9">
        <v>1</v>
      </c>
    </row>
    <row r="29" spans="1:12" x14ac:dyDescent="0.25">
      <c r="A29" s="5" t="s">
        <v>64</v>
      </c>
      <c r="B29" s="5" t="s">
        <v>65</v>
      </c>
      <c r="C29" s="6" t="s">
        <v>68</v>
      </c>
      <c r="D29" s="8">
        <f t="shared" si="0"/>
        <v>59</v>
      </c>
      <c r="E29" s="4">
        <v>0.66</v>
      </c>
      <c r="F29" s="4">
        <v>90</v>
      </c>
      <c r="G29" s="7">
        <v>2</v>
      </c>
      <c r="H29" s="7">
        <v>0.9</v>
      </c>
      <c r="I29" s="7">
        <v>0.95</v>
      </c>
      <c r="J29" s="7">
        <v>0.7</v>
      </c>
      <c r="K29" s="4" t="s">
        <v>60</v>
      </c>
      <c r="L29" s="9">
        <v>1</v>
      </c>
    </row>
    <row r="30" spans="1:12" x14ac:dyDescent="0.25">
      <c r="A30" s="5" t="s">
        <v>69</v>
      </c>
      <c r="B30" s="5" t="s">
        <v>65</v>
      </c>
      <c r="C30" s="6" t="s">
        <v>70</v>
      </c>
      <c r="D30" s="8">
        <f t="shared" si="0"/>
        <v>56</v>
      </c>
      <c r="E30" s="4">
        <v>0.66</v>
      </c>
      <c r="F30" s="4">
        <v>85</v>
      </c>
      <c r="G30" s="7">
        <v>4</v>
      </c>
      <c r="H30" s="7">
        <v>0.78</v>
      </c>
      <c r="I30" s="7">
        <v>0.95</v>
      </c>
      <c r="J30" s="7">
        <v>0.7</v>
      </c>
      <c r="K30" s="4" t="s">
        <v>61</v>
      </c>
      <c r="L30" s="9">
        <v>1</v>
      </c>
    </row>
    <row r="31" spans="1:12" x14ac:dyDescent="0.25">
      <c r="A31" s="5" t="s">
        <v>72</v>
      </c>
      <c r="B31" s="5" t="s">
        <v>86</v>
      </c>
      <c r="C31" s="6" t="s">
        <v>79</v>
      </c>
      <c r="D31" s="8">
        <f t="shared" si="0"/>
        <v>33</v>
      </c>
      <c r="E31" s="4">
        <v>0.66</v>
      </c>
      <c r="F31" s="4">
        <v>50</v>
      </c>
      <c r="G31" s="7">
        <v>2</v>
      </c>
      <c r="H31" s="7">
        <v>0.75</v>
      </c>
      <c r="I31" s="7">
        <v>0.95</v>
      </c>
      <c r="J31" s="7">
        <v>0.7</v>
      </c>
      <c r="K31" s="4" t="s">
        <v>61</v>
      </c>
      <c r="L31" s="9">
        <v>1</v>
      </c>
    </row>
    <row r="32" spans="1:12" x14ac:dyDescent="0.25">
      <c r="A32" s="5" t="s">
        <v>73</v>
      </c>
      <c r="B32" s="5" t="s">
        <v>86</v>
      </c>
      <c r="C32" s="6" t="s">
        <v>80</v>
      </c>
      <c r="D32" s="8">
        <f t="shared" si="0"/>
        <v>41</v>
      </c>
      <c r="E32" s="4">
        <v>0.66</v>
      </c>
      <c r="F32" s="4">
        <v>63</v>
      </c>
      <c r="G32" s="7">
        <v>2</v>
      </c>
      <c r="H32" s="7">
        <v>0.68</v>
      </c>
      <c r="I32" s="7">
        <v>0.95</v>
      </c>
      <c r="J32" s="7">
        <v>0.7</v>
      </c>
      <c r="K32" s="4" t="s">
        <v>61</v>
      </c>
      <c r="L32" s="9">
        <v>1</v>
      </c>
    </row>
    <row r="33" spans="1:12" x14ac:dyDescent="0.25">
      <c r="A33" s="5" t="s">
        <v>74</v>
      </c>
      <c r="B33" s="5" t="s">
        <v>86</v>
      </c>
      <c r="C33" s="6" t="s">
        <v>81</v>
      </c>
      <c r="D33" s="8">
        <f t="shared" si="0"/>
        <v>49</v>
      </c>
      <c r="E33" s="4">
        <v>0.66</v>
      </c>
      <c r="F33" s="4">
        <v>75</v>
      </c>
      <c r="G33" s="7">
        <v>2</v>
      </c>
      <c r="H33" s="7">
        <v>0.8</v>
      </c>
      <c r="I33" s="7">
        <v>0.95</v>
      </c>
      <c r="J33" s="7">
        <v>0.7</v>
      </c>
      <c r="K33" s="4" t="s">
        <v>61</v>
      </c>
      <c r="L33" s="9">
        <v>1</v>
      </c>
    </row>
    <row r="34" spans="1:12" x14ac:dyDescent="0.25">
      <c r="A34" s="5" t="s">
        <v>75</v>
      </c>
      <c r="B34" s="5" t="s">
        <v>86</v>
      </c>
      <c r="C34" s="6" t="s">
        <v>82</v>
      </c>
      <c r="D34" s="8">
        <f t="shared" si="0"/>
        <v>49</v>
      </c>
      <c r="E34" s="4">
        <v>0.66</v>
      </c>
      <c r="F34" s="4">
        <v>75</v>
      </c>
      <c r="G34" s="7">
        <v>2</v>
      </c>
      <c r="H34" s="7">
        <v>0.8</v>
      </c>
      <c r="I34" s="7">
        <v>0.95</v>
      </c>
      <c r="J34" s="7">
        <v>0.7</v>
      </c>
      <c r="K34" s="4" t="s">
        <v>61</v>
      </c>
      <c r="L34" s="9">
        <v>1</v>
      </c>
    </row>
    <row r="35" spans="1:12" x14ac:dyDescent="0.25">
      <c r="A35" s="5" t="s">
        <v>76</v>
      </c>
      <c r="B35" s="5" t="s">
        <v>86</v>
      </c>
      <c r="C35" s="6" t="s">
        <v>83</v>
      </c>
      <c r="D35" s="8">
        <f t="shared" si="0"/>
        <v>56</v>
      </c>
      <c r="E35" s="4">
        <v>0.66</v>
      </c>
      <c r="F35" s="4">
        <v>85</v>
      </c>
      <c r="G35" s="7">
        <v>2</v>
      </c>
      <c r="H35" s="7">
        <v>0.35</v>
      </c>
      <c r="I35" s="7">
        <v>0.95</v>
      </c>
      <c r="J35" s="7">
        <v>0.7</v>
      </c>
      <c r="K35" s="4" t="s">
        <v>61</v>
      </c>
      <c r="L35" s="9">
        <v>1</v>
      </c>
    </row>
    <row r="36" spans="1:12" x14ac:dyDescent="0.25">
      <c r="A36" s="5" t="s">
        <v>77</v>
      </c>
      <c r="B36" s="5" t="s">
        <v>86</v>
      </c>
      <c r="C36" s="6" t="s">
        <v>84</v>
      </c>
      <c r="D36" s="8">
        <f t="shared" si="0"/>
        <v>26</v>
      </c>
      <c r="E36" s="4">
        <v>0.66</v>
      </c>
      <c r="F36" s="4">
        <v>40</v>
      </c>
      <c r="G36" s="7">
        <v>2</v>
      </c>
      <c r="H36" s="7">
        <v>0.55000000000000004</v>
      </c>
      <c r="I36" s="7">
        <v>0.95</v>
      </c>
      <c r="J36" s="7">
        <v>0.7</v>
      </c>
      <c r="K36" s="4" t="s">
        <v>61</v>
      </c>
      <c r="L36" s="9">
        <v>1</v>
      </c>
    </row>
    <row r="37" spans="1:12" x14ac:dyDescent="0.25">
      <c r="A37" s="5" t="s">
        <v>78</v>
      </c>
      <c r="B37" s="5" t="s">
        <v>86</v>
      </c>
      <c r="C37" s="6" t="s">
        <v>85</v>
      </c>
      <c r="D37" s="8">
        <f t="shared" si="0"/>
        <v>27</v>
      </c>
      <c r="E37" s="4">
        <v>0.66</v>
      </c>
      <c r="F37" s="4">
        <v>42</v>
      </c>
      <c r="G37" s="7">
        <v>2</v>
      </c>
      <c r="H37" s="7">
        <v>0.55000000000000004</v>
      </c>
      <c r="I37" s="7">
        <v>0.95</v>
      </c>
      <c r="J37" s="7">
        <v>0.7</v>
      </c>
      <c r="K37" s="4" t="s">
        <v>61</v>
      </c>
      <c r="L37" s="9">
        <v>1</v>
      </c>
    </row>
  </sheetData>
  <sortState ref="A2:D26">
    <sortCondition ref="B2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r:id="rId5">
            <anchor moveWithCells="1">
              <from>
                <xdr:col>13</xdr:col>
                <xdr:colOff>9525</xdr:colOff>
                <xdr:row>1</xdr:row>
                <xdr:rowOff>0</xdr:rowOff>
              </from>
              <to>
                <xdr:col>23</xdr:col>
                <xdr:colOff>542925</xdr:colOff>
                <xdr:row>20</xdr:row>
                <xdr:rowOff>180975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6" r:id="rId6" name="CommandButton1">
          <controlPr defaultSize="0" autoLine="0" autoPict="0" r:id="rId7">
            <anchor moveWithCells="1">
              <from>
                <xdr:col>13</xdr:col>
                <xdr:colOff>9525</xdr:colOff>
                <xdr:row>22</xdr:row>
                <xdr:rowOff>19050</xdr:rowOff>
              </from>
              <to>
                <xdr:col>15</xdr:col>
                <xdr:colOff>295275</xdr:colOff>
                <xdr:row>24</xdr:row>
                <xdr:rowOff>57150</xdr:rowOff>
              </to>
            </anchor>
          </controlPr>
        </control>
      </mc:Choice>
      <mc:Fallback>
        <control shapeId="1026" r:id="rId6" name="CommandButton1"/>
      </mc:Fallback>
    </mc:AlternateContent>
  </controls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Wilson</dc:creator>
  <cp:lastModifiedBy>Brian Wilson</cp:lastModifiedBy>
  <dcterms:created xsi:type="dcterms:W3CDTF">2022-04-10T00:11:48Z</dcterms:created>
  <dcterms:modified xsi:type="dcterms:W3CDTF">2022-04-19T00:09:25Z</dcterms:modified>
</cp:coreProperties>
</file>